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f0f36b73b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ation Data" sheetId="1" r:id="Re96303f168454818"/>
    <x:sheet xmlns:r="http://schemas.openxmlformats.org/officeDocument/2006/relationships" name="Metric Summary" sheetId="2" r:id="R6c918b5d7ad0442f"/>
    <x:sheet xmlns:r="http://schemas.openxmlformats.org/officeDocument/2006/relationships" name="Quality Cases" sheetId="3" r:id="R3d858bfa9125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9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64E63"/>
      <x:name val="Carlito"/>
    </x:font>
    <x:font>
      <x:i/>
      <x:sz val="11"/>
      <x:color rgb="FF164E63"/>
      <x:name val="Carlito"/>
    </x:font>
    <x:font>
      <x:b/>
      <x:sz val="15"/>
      <x:color rgb="FFFFFFFF"/>
      <x:name val="Carlito"/>
    </x:font>
    <x:font>
      <x:i/>
      <x:sz val="11"/>
      <x:color rgb="FF991B1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083344"/>
      </x:patternFill>
    </x:fill>
    <x:fill>
      <x:patternFill patternType="solid">
        <x:fgColor rgb="FF0E7490"/>
      </x:patternFill>
    </x:fill>
    <x:fill>
      <x:patternFill patternType="solid">
        <x:fgColor rgb="FFCFFAFE"/>
      </x:patternFill>
    </x:fill>
    <x:fill>
      <x:patternFill patternType="solid">
        <x:fgColor rgb="FFECFEFF"/>
      </x:patternFill>
    </x:fill>
    <x:fill>
      <x:patternFill patternType="solid">
        <x:fgColor rgb="FF7F1D1D"/>
      </x:patternFill>
    </x:fill>
    <x:fill>
      <x:patternFill patternType="solid">
        <x:fgColor rgb="FFFEF2F2"/>
      </x:patternFill>
    </x:fill>
    <x:fill>
      <x:patternFill patternType="solid">
        <x:fgColor rgb="FFB91C1C"/>
      </x:patternFill>
    </x:fill>
  </x:fills>
  <x:borders count="47">
    <x:border/>
    <x:border/>
    <x:border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bottom style="thin">
        <x:color rgb="FFDCE6EA"/>
      </x:bottom>
    </x:border>
    <x:border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top style="thin">
        <x:color rgb="FFDCE6EA"/>
      </x:top>
      <x:bottom style="thin">
        <x:color rgb="FFDCE6EA"/>
      </x:bottom>
    </x:border>
    <x:border>
      <x:right style="thin">
        <x:color rgb="FFDCE6EA"/>
      </x:right>
      <x:top style="thin">
        <x:color rgb="FFDCE6EA"/>
      </x:top>
    </x:border>
    <x:border>
      <x:left style="thin">
        <x:color rgb="FFDCE6EA"/>
      </x:left>
      <x:right style="thin">
        <x:color rgb="FFDCE6EA"/>
      </x:right>
      <x:top style="thin">
        <x:color rgb="FFDCE6EA"/>
      </x:top>
    </x:border>
    <x:border>
      <x:left style="thin">
        <x:color rgb="FFDCE6EA"/>
      </x:left>
      <x:top style="thin">
        <x:color rgb="FFDCE6EA"/>
      </x:top>
    </x:border>
    <x:border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bottom style="thin">
        <x:color rgb="FFDCE6EA"/>
      </x:bottom>
    </x:border>
    <x:border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top style="thin">
        <x:color rgb="FFDCE6EA"/>
      </x:top>
      <x:bottom style="thin">
        <x:color rgb="FFDCE6EA"/>
      </x:bottom>
    </x:border>
    <x:border>
      <x:right style="thin">
        <x:color rgb="FFDCE6EA"/>
      </x:right>
      <x:top style="thin">
        <x:color rgb="FFDCE6EA"/>
      </x:top>
    </x:border>
    <x:border>
      <x:left style="thin">
        <x:color rgb="FFDCE6EA"/>
      </x:left>
      <x:right style="thin">
        <x:color rgb="FFDCE6EA"/>
      </x:right>
      <x:top style="thin">
        <x:color rgb="FFDCE6EA"/>
      </x:top>
    </x:border>
    <x:border>
      <x:left style="thin">
        <x:color rgb="FFDCE6EA"/>
      </x:left>
      <x:top style="thin">
        <x:color rgb="FFDCE6EA"/>
      </x:top>
    </x:border>
    <x:border>
      <x:right style="thin">
        <x:color rgb="FFB6D7E1"/>
      </x:right>
      <x:bottom style="thin">
        <x:color rgb="FFB6D7E1"/>
      </x:bottom>
    </x:border>
    <x:border>
      <x:left style="thin">
        <x:color rgb="FFB6D7E1"/>
      </x:left>
      <x:right style="thin">
        <x:color rgb="FFB6D7E1"/>
      </x:right>
      <x:bottom style="thin">
        <x:color rgb="FFB6D7E1"/>
      </x:bottom>
    </x:border>
    <x:border>
      <x:left style="thin">
        <x:color rgb="FFB6D7E1"/>
      </x:left>
      <x:bottom style="thin">
        <x:color rgb="FFB6D7E1"/>
      </x:bottom>
    </x:border>
    <x:border>
      <x:right style="thin">
        <x:color rgb="FFB6D7E1"/>
      </x:right>
      <x:top style="thin">
        <x:color rgb="FFB6D7E1"/>
      </x:top>
      <x:bottom style="thin">
        <x:color rgb="FFB6D7E1"/>
      </x:bottom>
    </x:border>
    <x:border>
      <x:left style="thin">
        <x:color rgb="FFB6D7E1"/>
      </x:left>
      <x:right style="thin">
        <x:color rgb="FFB6D7E1"/>
      </x:right>
      <x:top style="thin">
        <x:color rgb="FFB6D7E1"/>
      </x:top>
      <x:bottom style="thin">
        <x:color rgb="FFB6D7E1"/>
      </x:bottom>
    </x:border>
    <x:border>
      <x:left style="thin">
        <x:color rgb="FFB6D7E1"/>
      </x:left>
      <x:top style="thin">
        <x:color rgb="FFB6D7E1"/>
      </x:top>
      <x:bottom style="thin">
        <x:color rgb="FFB6D7E1"/>
      </x:bottom>
    </x:border>
    <x:border>
      <x:right style="thin">
        <x:color rgb="FFB6D7E1"/>
      </x:right>
      <x:top style="thin">
        <x:color rgb="FFB6D7E1"/>
      </x:top>
    </x:border>
    <x:border>
      <x:left style="thin">
        <x:color rgb="FFB6D7E1"/>
      </x:left>
      <x:right style="thin">
        <x:color rgb="FFB6D7E1"/>
      </x:right>
      <x:top style="thin">
        <x:color rgb="FFB6D7E1"/>
      </x:top>
    </x:border>
    <x:border>
      <x:left style="thin">
        <x:color rgb="FFB6D7E1"/>
      </x:left>
      <x:top style="thin">
        <x:color rgb="FFB6D7E1"/>
      </x:top>
    </x:border>
    <x:border>
      <x:right style="thin">
        <x:color rgb="FFB6D7E1"/>
      </x:right>
      <x:bottom style="thin">
        <x:color rgb="FFB6D7E1"/>
      </x:bottom>
    </x:border>
    <x:border>
      <x:left style="thin">
        <x:color rgb="FFB6D7E1"/>
      </x:left>
      <x:right style="thin">
        <x:color rgb="FFB6D7E1"/>
      </x:right>
      <x:bottom style="thin">
        <x:color rgb="FFB6D7E1"/>
      </x:bottom>
    </x:border>
    <x:border>
      <x:left style="thin">
        <x:color rgb="FFB6D7E1"/>
      </x:left>
      <x:bottom style="thin">
        <x:color rgb="FFB6D7E1"/>
      </x:bottom>
    </x:border>
    <x:border>
      <x:right style="thin">
        <x:color rgb="FFB6D7E1"/>
      </x:right>
      <x:top style="thin">
        <x:color rgb="FFB6D7E1"/>
      </x:top>
      <x:bottom style="thin">
        <x:color rgb="FFB6D7E1"/>
      </x:bottom>
    </x:border>
    <x:border>
      <x:left style="thin">
        <x:color rgb="FFB6D7E1"/>
      </x:left>
      <x:right style="thin">
        <x:color rgb="FFB6D7E1"/>
      </x:right>
      <x:top style="thin">
        <x:color rgb="FFB6D7E1"/>
      </x:top>
      <x:bottom style="thin">
        <x:color rgb="FFB6D7E1"/>
      </x:bottom>
    </x:border>
    <x:border>
      <x:left style="thin">
        <x:color rgb="FFB6D7E1"/>
      </x:left>
      <x:top style="thin">
        <x:color rgb="FFB6D7E1"/>
      </x:top>
      <x:bottom style="thin">
        <x:color rgb="FFB6D7E1"/>
      </x:bottom>
    </x:border>
    <x:border>
      <x:right style="thin">
        <x:color rgb="FFB6D7E1"/>
      </x:right>
      <x:top style="thin">
        <x:color rgb="FFB6D7E1"/>
      </x:top>
    </x:border>
    <x:border>
      <x:left style="thin">
        <x:color rgb="FFB6D7E1"/>
      </x:left>
      <x:right style="thin">
        <x:color rgb="FFB6D7E1"/>
      </x:right>
      <x:top style="thin">
        <x:color rgb="FFB6D7E1"/>
      </x:top>
    </x:border>
    <x:border>
      <x:left style="thin">
        <x:color rgb="FFB6D7E1"/>
      </x:left>
      <x:top style="thin">
        <x:color rgb="FFB6D7E1"/>
      </x:top>
    </x:border>
    <x:border>
      <x:right style="thin">
        <x:color rgb="FFF3C5C5"/>
      </x:right>
      <x:bottom style="thin">
        <x:color rgb="FFF3C5C5"/>
      </x:bottom>
    </x:border>
    <x:border>
      <x:left style="thin">
        <x:color rgb="FFF3C5C5"/>
      </x:left>
      <x:right style="thin">
        <x:color rgb="FFF3C5C5"/>
      </x:right>
      <x:bottom style="thin">
        <x:color rgb="FFF3C5C5"/>
      </x:bottom>
    </x:border>
    <x:border>
      <x:left style="thin">
        <x:color rgb="FFF3C5C5"/>
      </x:left>
      <x:bottom style="thin">
        <x:color rgb="FFF3C5C5"/>
      </x:bottom>
    </x:border>
    <x:border>
      <x:right style="thin">
        <x:color rgb="FFF3C5C5"/>
      </x:right>
      <x:top style="thin">
        <x:color rgb="FFF3C5C5"/>
      </x:top>
      <x:bottom style="thin">
        <x:color rgb="FFF3C5C5"/>
      </x:bottom>
    </x:border>
    <x:border>
      <x:left style="thin">
        <x:color rgb="FFF3C5C5"/>
      </x:left>
      <x:right style="thin">
        <x:color rgb="FFF3C5C5"/>
      </x:right>
      <x:top style="thin">
        <x:color rgb="FFF3C5C5"/>
      </x:top>
      <x:bottom style="thin">
        <x:color rgb="FFF3C5C5"/>
      </x:bottom>
    </x:border>
    <x:border>
      <x:left style="thin">
        <x:color rgb="FFF3C5C5"/>
      </x:left>
      <x:top style="thin">
        <x:color rgb="FFF3C5C5"/>
      </x:top>
      <x:bottom style="thin">
        <x:color rgb="FFF3C5C5"/>
      </x:bottom>
    </x:border>
    <x:border>
      <x:right style="thin">
        <x:color rgb="FFF3C5C5"/>
      </x:right>
      <x:top style="thin">
        <x:color rgb="FFF3C5C5"/>
      </x:top>
    </x:border>
    <x:border>
      <x:left style="thin">
        <x:color rgb="FFF3C5C5"/>
      </x:left>
      <x:right style="thin">
        <x:color rgb="FFF3C5C5"/>
      </x:right>
      <x:top style="thin">
        <x:color rgb="FFF3C5C5"/>
      </x:top>
    </x:border>
    <x:border>
      <x:left style="thin">
        <x:color rgb="FFF3C5C5"/>
      </x:left>
      <x:top style="thin">
        <x:color rgb="FFF3C5C5"/>
      </x:top>
    </x:border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200" fontId="1" fillId="0" borderId="6" xfId="0" applyNumberFormat="1" applyFont="1" applyFill="1" applyBorder="1"/>
    <x:xf numFmtId="0" fontId="1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right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1" fillId="0" borderId="9" xfId="0" applyNumberFormat="1" applyFont="1" applyFill="1" applyBorder="1"/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horizontal="right"/>
    </x:xf>
    <x:xf numFmtId="0" fontId="1" fillId="0" borderId="10" xfId="0" applyNumberFormat="1" applyFont="1" applyFill="1" applyBorder="1"/>
    <x:xf numFmtId="0" fontId="2" fillId="2" borderId="11" xfId="0" applyNumberFormat="1" applyFont="1" applyFill="1" applyBorder="1" applyAlignment="1">
      <x:alignment horizontal="center"/>
    </x:xf>
    <x:xf numFmtId="0" fontId="2" fillId="2" borderId="12" xfId="0" applyNumberFormat="1" applyFont="1" applyFill="1" applyBorder="1" applyAlignment="1">
      <x:alignment horizontal="center"/>
    </x:xf>
    <x:xf numFmtId="0" fontId="2" fillId="2" borderId="13" xfId="0" applyNumberFormat="1" applyFont="1" applyFill="1" applyBorder="1" applyAlignment="1">
      <x:alignment horizontal="center"/>
    </x:xf>
    <x:xf numFmtId="0" fontId="1" fillId="0" borderId="14" xfId="0" applyNumberFormat="1" applyFont="1" applyFill="1" applyBorder="1"/>
    <x:xf numFmtId="200" fontId="1" fillId="0" borderId="15" xfId="0" applyNumberFormat="1" applyFont="1" applyFill="1" applyBorder="1"/>
    <x:xf numFmtId="0" fontId="1" fillId="0" borderId="15" xfId="0" applyNumberFormat="1" applyFont="1" applyFill="1" applyBorder="1"/>
    <x:xf numFmtId="0" fontId="1" fillId="0" borderId="15" xfId="0" applyNumberFormat="1" applyFont="1" applyFill="1" applyBorder="1" applyAlignment="1">
      <x:alignment horizontal="right"/>
    </x:xf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200" fontId="1" fillId="0" borderId="18" xfId="0" applyNumberFormat="1" applyFont="1" applyFill="1" applyBorder="1"/>
    <x:xf numFmtId="0" fontId="1" fillId="0" borderId="18" xfId="0" applyNumberFormat="1" applyFont="1" applyFill="1" applyBorder="1"/>
    <x:xf numFmtId="0" fontId="1" fillId="0" borderId="18" xfId="0" applyNumberFormat="1" applyFont="1" applyFill="1" applyBorder="1" applyAlignment="1">
      <x:alignment horizontal="right"/>
    </x:xf>
    <x:xf numFmtId="0" fontId="1" fillId="0" borderId="19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  <x:xf numFmtId="201" fontId="0" fillId="0" borderId="13" xfId="0" applyNumberFormat="1" applyFont="1" applyFill="1" applyBorder="1"/>
    <x:xf numFmtId="201" fontId="0" fillId="0" borderId="16" xfId="0" applyNumberFormat="1" applyFont="1" applyFill="1" applyBorder="1"/>
    <x:xf numFmtId="202" fontId="0" fillId="0" borderId="7" xfId="0" applyNumberFormat="1" applyFont="1" applyFill="1" applyBorder="1"/>
    <x:xf numFmtId="202" fontId="0" fillId="0" borderId="16" xfId="0" applyNumberFormat="1" applyFont="1" applyFill="1" applyBorder="1"/>
    <x:xf numFmtId="201" fontId="0" fillId="0" borderId="10" xfId="0" applyNumberFormat="1" applyFont="1" applyFill="1" applyBorder="1"/>
    <x:xf numFmtId="201" fontId="0" fillId="0" borderId="19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2" xfId="0" applyNumberFormat="1" applyFont="1" applyFill="1" applyBorder="1"/>
    <x:xf numFmtId="0" fontId="0" fillId="0" borderId="23" xfId="0" applyNumberFormat="1" applyFont="1" applyFill="1" applyBorder="1"/>
    <x:xf numFmtId="201" fontId="0" fillId="0" borderId="24" xfId="0" applyNumberFormat="1" applyFont="1" applyFill="1" applyBorder="1"/>
    <x:xf numFmtId="202" fontId="0" fillId="0" borderId="25" xfId="0" applyNumberFormat="1" applyFont="1" applyFill="1" applyBorder="1"/>
    <x:xf numFmtId="0" fontId="0" fillId="0" borderId="26" xfId="0" applyNumberFormat="1" applyFont="1" applyFill="1" applyBorder="1"/>
    <x:xf numFmtId="201" fontId="0" fillId="0" borderId="27" xfId="0" applyNumberFormat="1" applyFont="1" applyFill="1" applyBorder="1"/>
    <x:xf numFmtId="202" fontId="0" fillId="0" borderId="28" xfId="0" applyNumberFormat="1" applyFont="1" applyFill="1" applyBorder="1"/>
    <x:xf numFmtId="0" fontId="5" fillId="5" borderId="29" xfId="0" applyNumberFormat="1" applyFont="1" applyFill="1" applyBorder="1"/>
    <x:xf numFmtId="0" fontId="5" fillId="5" borderId="30" xfId="0" applyNumberFormat="1" applyFont="1" applyFill="1" applyBorder="1"/>
    <x:xf numFmtId="0" fontId="5" fillId="5" borderId="31" xfId="0" applyNumberFormat="1" applyFont="1" applyFill="1" applyBorder="1"/>
    <x:xf numFmtId="0" fontId="0" fillId="0" borderId="32" xfId="0" applyNumberFormat="1" applyFont="1" applyFill="1" applyBorder="1"/>
    <x:xf numFmtId="201" fontId="0" fillId="0" borderId="33" xfId="0" applyNumberFormat="1" applyFont="1" applyFill="1" applyBorder="1"/>
    <x:xf numFmtId="202" fontId="0" fillId="0" borderId="34" xfId="0" applyNumberFormat="1" applyFont="1" applyFill="1" applyBorder="1"/>
    <x:xf numFmtId="0" fontId="0" fillId="0" borderId="35" xfId="0" applyNumberFormat="1" applyFont="1" applyFill="1" applyBorder="1"/>
    <x:xf numFmtId="201" fontId="0" fillId="0" borderId="36" xfId="0" applyNumberFormat="1" applyFont="1" applyFill="1" applyBorder="1"/>
    <x:xf numFmtId="202" fontId="0" fillId="0" borderId="37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9" borderId="38" xfId="0" applyNumberFormat="1" applyFont="1" applyFill="1" applyBorder="1"/>
    <x:xf numFmtId="0" fontId="4" fillId="9" borderId="39" xfId="0" applyNumberFormat="1" applyFont="1" applyFill="1" applyBorder="1"/>
    <x:xf numFmtId="0" fontId="4" fillId="9" borderId="40" xfId="0" applyNumberFormat="1" applyFont="1" applyFill="1" applyBorder="1"/>
    <x:xf numFmtId="0" fontId="0" fillId="0" borderId="41" xfId="0" applyNumberFormat="1" applyFont="1" applyFill="1" applyBorder="1"/>
    <x:xf numFmtId="200" fontId="0" fillId="0" borderId="42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200" fontId="0" fillId="0" borderId="45" xfId="0" applyNumberFormat="1" applyFont="1" applyFill="1" applyBorder="1"/>
    <x:xf numFmtId="0" fontId="0" fillId="0" borderId="45" xfId="0" applyNumberFormat="1" applyFont="1" applyFill="1" applyBorder="1"/>
    <x:xf numFmtId="0" fontId="0" fillId="0" borderId="4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a0be0bcea4f31" /><Relationship Type="http://schemas.openxmlformats.org/officeDocument/2006/relationships/theme" Target="/xl/theme/theme1.xml" Id="Rb3865f65a4114120" /><Relationship Type="http://schemas.openxmlformats.org/officeDocument/2006/relationships/sharedStrings" Target="/xl/sharedStrings.xml" Id="R970322cded094f43" /><Relationship Type="http://schemas.openxmlformats.org/officeDocument/2006/relationships/worksheet" Target="/xl/worksheets/sheet1.xml" Id="Re96303f168454818" /><Relationship Type="http://schemas.openxmlformats.org/officeDocument/2006/relationships/worksheet" Target="/xl/worksheets/sheet2.xml" Id="R6c918b5d7ad0442f" /><Relationship Type="http://schemas.openxmlformats.org/officeDocument/2006/relationships/worksheet" Target="/xl/worksheets/sheet3.xml" Id="R3d858bfa9125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2" hidden="0" customWidth="1"/>
    <x:col min="5" max="5" width="16" hidden="0" customWidth="1"/>
    <x:col min="6" max="6" width="10" hidden="0" customWidth="1"/>
    <x:col min="7" max="7" width="22" hidden="0" customWidth="1"/>
    <x:col min="8" max="8" width="15" hidden="0" customWidth="1"/>
  </x:cols>
  <x:sheetData>
    <x:row r="1">
      <x:c r="A1" s="14" t="str">
        <x:v>signup_id</x:v>
      </x:c>
      <x:c r="B1" s="15" t="str">
        <x:v>signup_date</x:v>
      </x:c>
      <x:c r="C1" s="15" t="str">
        <x:v>platform</x:v>
      </x:c>
      <x:c r="D1" s="15" t="str">
        <x:v>eligible</x:v>
      </x:c>
      <x:c r="E1" s="15" t="str">
        <x:v>activated_7d</x:v>
      </x:c>
      <x:c r="F1" s="15" t="str">
        <x:v>country</x:v>
      </x:c>
      <x:c r="G1" s="16" t="str">
        <x:v>acquisition_channel</x:v>
      </x:c>
      <x:c r="H1" s="6" t="str">
        <x:v>duplicate_flag</x:v>
      </x:c>
    </x:row>
    <x:row r="2">
      <x:c r="A2" s="17" t="str">
        <x:v>u001</x:v>
      </x:c>
      <x:c r="B2" s="18" t="str">
        <x:v>2026-04-01</x:v>
      </x:c>
      <x:c r="C2" s="19" t="str">
        <x:v>web</x:v>
      </x:c>
      <x:c r="D2" s="20" t="str">
        <x:v>1</x:v>
      </x:c>
      <x:c r="E2" s="20" t="str">
        <x:v>1</x:v>
      </x:c>
      <x:c r="F2" s="20" t="str">
        <x:v>CN</x:v>
      </x:c>
      <x:c r="G2" s="21" t="str">
        <x:v>organic</x:v>
      </x:c>
      <x:c r="H2" s="2" t="n">
        <x:f>IF(COUNTIF($A$2:$A$13,A2)&gt;1,1,0)</x:f>
        <x:v>0</x:v>
      </x:c>
    </x:row>
    <x:row r="3">
      <x:c r="A3" s="17" t="str">
        <x:v>u002</x:v>
      </x:c>
      <x:c r="B3" s="18" t="str">
        <x:v>2026-04-02</x:v>
      </x:c>
      <x:c r="C3" s="19" t="str">
        <x:v>web</x:v>
      </x:c>
      <x:c r="D3" s="20" t="str">
        <x:v>1</x:v>
      </x:c>
      <x:c r="E3" s="20" t="str">
        <x:v>1</x:v>
      </x:c>
      <x:c r="F3" s="20" t="str">
        <x:v>CN</x:v>
      </x:c>
      <x:c r="G3" s="21" t="str">
        <x:v>paid</x:v>
      </x:c>
      <x:c r="H3" s="2" t="n">
        <x:f>IF(COUNTIF($A$2:$A$13,A3)&gt;1,1,0)</x:f>
        <x:v>0</x:v>
      </x:c>
    </x:row>
    <x:row r="4">
      <x:c r="A4" s="17" t="str">
        <x:v>u003</x:v>
      </x:c>
      <x:c r="B4" s="18" t="str">
        <x:v>2026-04-03</x:v>
      </x:c>
      <x:c r="C4" s="19" t="str">
        <x:v>ios</x:v>
      </x:c>
      <x:c r="D4" s="20" t="str">
        <x:v>1</x:v>
      </x:c>
      <x:c r="E4" s="20" t="str">
        <x:v>1</x:v>
      </x:c>
      <x:c r="F4" s="20" t="str">
        <x:v>US</x:v>
      </x:c>
      <x:c r="G4" s="21" t="str">
        <x:v>organic</x:v>
      </x:c>
      <x:c r="H4" s="2" t="n">
        <x:f>IF(COUNTIF($A$2:$A$13,A4)&gt;1,1,0)</x:f>
        <x:v>0</x:v>
      </x:c>
    </x:row>
    <x:row r="5">
      <x:c r="A5" s="17" t="str">
        <x:v>u004</x:v>
      </x:c>
      <x:c r="B5" s="18" t="str">
        <x:v>2026-04-04</x:v>
      </x:c>
      <x:c r="C5" s="19" t="str">
        <x:v>android</x:v>
      </x:c>
      <x:c r="D5" s="20" t="str">
        <x:v>1</x:v>
      </x:c>
      <x:c r="E5" s="20" t="str">
        <x:v>0</x:v>
      </x:c>
      <x:c r="F5" s="20" t="str">
        <x:v>CN</x:v>
      </x:c>
      <x:c r="G5" s="21" t="str">
        <x:v>paid</x:v>
      </x:c>
      <x:c r="H5" s="2" t="n">
        <x:f>IF(COUNTIF($A$2:$A$13,A5)&gt;1,1,0)</x:f>
        <x:v>0</x:v>
      </x:c>
    </x:row>
    <x:row r="6">
      <x:c r="A6" s="17" t="str">
        <x:v>u005</x:v>
      </x:c>
      <x:c r="B6" s="18" t="str">
        <x:v>2026-04-08</x:v>
      </x:c>
      <x:c r="C6" s="19" t="str">
        <x:v>web</x:v>
      </x:c>
      <x:c r="D6" s="20" t="str">
        <x:v>1</x:v>
      </x:c>
      <x:c r="E6" s="20" t="str">
        <x:v>1</x:v>
      </x:c>
      <x:c r="F6" s="20" t="str">
        <x:v>US</x:v>
      </x:c>
      <x:c r="G6" s="21" t="str">
        <x:v>referral</x:v>
      </x:c>
      <x:c r="H6" s="2" t="n">
        <x:f>IF(COUNTIF($A$2:$A$13,A6)&gt;1,1,0)</x:f>
        <x:v>0</x:v>
      </x:c>
    </x:row>
    <x:row r="7">
      <x:c r="A7" s="17" t="str">
        <x:v>u006</x:v>
      </x:c>
      <x:c r="B7" s="18" t="str">
        <x:v>2026-04-09</x:v>
      </x:c>
      <x:c r="C7" s="19" t="str">
        <x:v>ios</x:v>
      </x:c>
      <x:c r="D7" s="20" t="str">
        <x:v>1</x:v>
      </x:c>
      <x:c r="E7" s="20" t="str">
        <x:v>0</x:v>
      </x:c>
      <x:c r="F7" s="20" t="str">
        <x:v>CN</x:v>
      </x:c>
      <x:c r="G7" s="21" t="str">
        <x:v>organic</x:v>
      </x:c>
      <x:c r="H7" s="2" t="n">
        <x:f>IF(COUNTIF($A$2:$A$13,A7)&gt;1,1,0)</x:f>
        <x:v>0</x:v>
      </x:c>
    </x:row>
    <x:row r="8">
      <x:c r="A8" s="17" t="str">
        <x:v>u007</x:v>
      </x:c>
      <x:c r="B8" s="18" t="str">
        <x:v>2026-04-10</x:v>
      </x:c>
      <x:c r="C8" s="19" t="str">
        <x:v>android</x:v>
      </x:c>
      <x:c r="D8" s="20" t="str">
        <x:v>1</x:v>
      </x:c>
      <x:c r="E8" s="20" t="str">
        <x:v>0</x:v>
      </x:c>
      <x:c r="F8" s="20" t="str">
        <x:v>US</x:v>
      </x:c>
      <x:c r="G8" s="21" t="str">
        <x:v>paid</x:v>
      </x:c>
      <x:c r="H8" s="2" t="n">
        <x:f>IF(COUNTIF($A$2:$A$13,A8)&gt;1,1,0)</x:f>
        <x:v>0</x:v>
      </x:c>
    </x:row>
    <x:row r="9">
      <x:c r="A9" s="17" t="str">
        <x:v>u008</x:v>
      </x:c>
      <x:c r="B9" s="18" t="str">
        <x:v>2026-04-11</x:v>
      </x:c>
      <x:c r="C9" s="19" t="str">
        <x:v>web</x:v>
      </x:c>
      <x:c r="D9" s="20" t="str">
        <x:v>0</x:v>
      </x:c>
      <x:c r="E9" s="20" t="str">
        <x:v>0</x:v>
      </x:c>
      <x:c r="F9" s="20" t="str">
        <x:v>CN</x:v>
      </x:c>
      <x:c r="G9" s="21" t="str">
        <x:v>internal</x:v>
      </x:c>
      <x:c r="H9" s="2" t="n">
        <x:f>IF(COUNTIF($A$2:$A$13,A9)&gt;1,1,0)</x:f>
        <x:v>0</x:v>
      </x:c>
    </x:row>
    <x:row r="10">
      <x:c r="A10" s="17" t="str">
        <x:v>u009</x:v>
      </x:c>
      <x:c r="B10" s="18" t="str">
        <x:v>2026-04-15</x:v>
      </x:c>
      <x:c r="C10" s="19" t="str">
        <x:v>web</x:v>
      </x:c>
      <x:c r="D10" s="20" t="str">
        <x:v>1</x:v>
      </x:c>
      <x:c r="E10" s="20" t="str">
        <x:v>1</x:v>
      </x:c>
      <x:c r="F10" s="20" t="str">
        <x:v>CN</x:v>
      </x:c>
      <x:c r="G10" s="21" t="str">
        <x:v>organic</x:v>
      </x:c>
      <x:c r="H10" s="2" t="n">
        <x:f>IF(COUNTIF($A$2:$A$13,A10)&gt;1,1,0)</x:f>
        <x:v>0</x:v>
      </x:c>
    </x:row>
    <x:row r="11">
      <x:c r="A11" s="17" t="str">
        <x:v>u010</x:v>
      </x:c>
      <x:c r="B11" s="18" t="str">
        <x:v>2026-04-16</x:v>
      </x:c>
      <x:c r="C11" s="19" t="str">
        <x:v>ios</x:v>
      </x:c>
      <x:c r="D11" s="20" t="str">
        <x:v>1</x:v>
      </x:c>
      <x:c r="E11" s="20" t="str">
        <x:v>1</x:v>
      </x:c>
      <x:c r="F11" s="20" t="str">
        <x:v>US</x:v>
      </x:c>
      <x:c r="G11" s="21" t="str">
        <x:v>referral</x:v>
      </x:c>
      <x:c r="H11" s="2" t="n">
        <x:f>IF(COUNTIF($A$2:$A$13,A11)&gt;1,1,0)</x:f>
        <x:v>0</x:v>
      </x:c>
    </x:row>
    <x:row r="12">
      <x:c r="A12" s="17" t="str">
        <x:v>u011</x:v>
      </x:c>
      <x:c r="B12" s="18" t="str">
        <x:v>2026-04-17</x:v>
      </x:c>
      <x:c r="C12" s="19" t="str">
        <x:v>android</x:v>
      </x:c>
      <x:c r="D12" s="20" t="str">
        <x:v>1</x:v>
      </x:c>
      <x:c r="E12" s="20" t="str">
        <x:v>0</x:v>
      </x:c>
      <x:c r="F12" s="20" t="str">
        <x:v>CN</x:v>
      </x:c>
      <x:c r="G12" s="21" t="str">
        <x:v>paid</x:v>
      </x:c>
      <x:c r="H12" s="2" t="n">
        <x:f>IF(COUNTIF($A$2:$A$13,A12)&gt;1,1,0)</x:f>
        <x:v>0</x:v>
      </x:c>
    </x:row>
    <x:row r="13">
      <x:c r="A13" s="22" t="str">
        <x:v>u012</x:v>
      </x:c>
      <x:c r="B13" s="23" t="str">
        <x:v>2026-04-18</x:v>
      </x:c>
      <x:c r="C13" s="24" t="str">
        <x:v>web</x:v>
      </x:c>
      <x:c r="D13" s="25" t="str">
        <x:v>1</x:v>
      </x:c>
      <x:c r="E13" s="25" t="str">
        <x:v>1</x:v>
      </x:c>
      <x:c r="F13" s="25" t="str">
        <x:v>US</x:v>
      </x:c>
      <x:c r="G13" s="26" t="str">
        <x:v>organic</x:v>
      </x:c>
      <x:c r="H13" s="2" t="n">
        <x:f>IF(COUNTIF($A$2:$A$13,A13)&gt;1,1,0)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4" customHeight="1">
      <x:c r="A1" s="46" t="str">
        <x:v>Activation Analysis Golden Fixture</x:v>
      </x:c>
      <x:c r="B1" s="46"/>
      <x:c r="C1" s="46"/>
      <x:c r="D1" s="46"/>
    </x:row>
    <x:row r="3">
      <x:c r="A3" s="50" t="str">
        <x:v>Metric</x:v>
      </x:c>
      <x:c r="B3" s="50" t="str">
        <x:v>Value</x:v>
      </x:c>
    </x:row>
    <x:row r="4">
      <x:c r="A4" s="52" t="str">
        <x:v>Eligible users</x:v>
      </x:c>
      <x:c r="B4" s="64" t="n">
        <x:f>COUNTIF('Activation Data'!D2:D13,1)</x:f>
        <x:v>11</x:v>
      </x:c>
    </x:row>
    <x:row r="5">
      <x:c r="A5" s="54" t="str">
        <x:v>Activated within 7d</x:v>
      </x:c>
      <x:c r="B5" s="65" t="n">
        <x:f>SUMIFS('Activation Data'!E2:E13,'Activation Data'!D2:D13,1)</x:f>
        <x:v>7</x:v>
      </x:c>
    </x:row>
    <x:row r="6">
      <x:c r="A6" s="54" t="str">
        <x:v>Activation rate</x:v>
      </x:c>
      <x:c r="B6" s="68" t="n">
        <x:f>IF(B4=0,0,B5/B4)</x:f>
        <x:v>0.6363636363636364</x:v>
      </x:c>
    </x:row>
    <x:row r="7">
      <x:c r="A7" s="56" t="str">
        <x:v>Duplicate signup IDs</x:v>
      </x:c>
      <x:c r="B7" s="70" t="n">
        <x:f>SUM('Activation Data'!H2:H13)/2</x:f>
        <x:v>0</x:v>
      </x:c>
    </x:row>
    <x:row r="9">
      <x:c r="A9" s="80" t="str">
        <x:v>Platform</x:v>
      </x:c>
      <x:c r="B9" s="81" t="str">
        <x:v>Eligible</x:v>
      </x:c>
      <x:c r="C9" s="81" t="str">
        <x:v>Activated</x:v>
      </x:c>
      <x:c r="D9" s="82" t="str">
        <x:v>Activation rate</x:v>
      </x:c>
    </x:row>
    <x:row r="10">
      <x:c r="A10" s="83" t="str">
        <x:v>web</x:v>
      </x:c>
      <x:c r="B10" s="84" t="n">
        <x:f>COUNTIFS('Activation Data'!C$2:C$13,A10,'Activation Data'!D$2:D$13,1)</x:f>
        <x:v>5</x:v>
      </x:c>
      <x:c r="C10" s="84" t="n">
        <x:f>SUMIFS('Activation Data'!E$2:E$13,'Activation Data'!C$2:C$13,A10,'Activation Data'!D$2:D$13,1)</x:f>
        <x:v>5</x:v>
      </x:c>
      <x:c r="D10" s="85" t="n">
        <x:f>IF(B10=0,0,C10/B10)</x:f>
        <x:v>1</x:v>
      </x:c>
    </x:row>
    <x:row r="11">
      <x:c r="A11" s="83" t="str">
        <x:v>ios</x:v>
      </x:c>
      <x:c r="B11" s="84" t="n">
        <x:f>COUNTIFS('Activation Data'!C$2:C$13,A11,'Activation Data'!D$2:D$13,1)</x:f>
        <x:v>3</x:v>
      </x:c>
      <x:c r="C11" s="84" t="n">
        <x:f>SUMIFS('Activation Data'!E$2:E$13,'Activation Data'!C$2:C$13,A11,'Activation Data'!D$2:D$13,1)</x:f>
        <x:v>2</x:v>
      </x:c>
      <x:c r="D11" s="85" t="n">
        <x:f>IF(B11=0,0,C11/B11)</x:f>
        <x:v>0.6666666666666666</x:v>
      </x:c>
    </x:row>
    <x:row r="12">
      <x:c r="A12" s="86" t="str">
        <x:v>android</x:v>
      </x:c>
      <x:c r="B12" s="87" t="n">
        <x:f>COUNTIFS('Activation Data'!C$2:C$13,A12,'Activation Data'!D$2:D$13,1)</x:f>
        <x:v>3</x:v>
      </x:c>
      <x:c r="C12" s="87" t="n">
        <x:f>SUMIFS('Activation Data'!E$2:E$13,'Activation Data'!C$2:C$13,A12,'Activation Data'!D$2:D$13,1)</x:f>
        <x:v>0</x:v>
      </x:c>
      <x:c r="D12" s="88" t="n">
        <x:f>IF(B12=0,0,C12/B12)</x:f>
        <x:v>0</x:v>
      </x:c>
    </x:row>
    <x:row r="14">
      <x:c r="A14" s="104" t="str">
        <x:v>Expected golden result: 7 / 11 = 63.6%. The formulas intentionally exclude ineligible users from the denominator.</x:v>
      </x:c>
      <x:c r="B14" s="104"/>
      <x:c r="C14" s="104"/>
      <x:c r="D14" s="104"/>
    </x:row>
    <x:row r="15">
      <x:c r="A15" s="104"/>
      <x:c r="B15" s="104"/>
      <x:c r="C15" s="104"/>
      <x:c r="D15" s="104"/>
    </x:row>
  </x:sheetData>
  <x:mergeCells>
    <x:mergeCell ref="A1:D1"/>
    <x:mergeCell ref="A14:D14"/>
    <x:mergeCell ref="A15:D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6" hidden="0" customWidth="1"/>
    <x:col min="6" max="6" width="24" hidden="0" customWidth="1"/>
    <x:col min="7" max="7" width="18" hidden="0" customWidth="1"/>
  </x:cols>
  <x:sheetData>
    <x:row r="1" ht="32" customHeight="1">
      <x:c r="A1" s="108" t="str">
        <x:v>Intentional Data-Quality Failures</x:v>
      </x:c>
      <x:c r="B1" s="108"/>
      <x:c r="C1" s="108"/>
      <x:c r="D1" s="108"/>
      <x:c r="E1" s="108"/>
      <x:c r="F1" s="108"/>
      <x:c r="G1" s="108"/>
    </x:row>
    <x:row r="2" ht="38" customHeight="1">
      <x:c r="A2" s="114" t="str">
        <x:v>These rows are not used by Metric Summary. They exist to test duplicate-key, missing-dimension, and invalid-denominator handling.</x:v>
      </x:c>
      <x:c r="B2" s="114"/>
      <x:c r="C2" s="114"/>
      <x:c r="D2" s="114"/>
      <x:c r="E2" s="114"/>
      <x:c r="F2" s="114"/>
      <x:c r="G2" s="114"/>
    </x:row>
    <x:row r="4">
      <x:c r="A4" s="122" t="str">
        <x:v>signup_id</x:v>
      </x:c>
      <x:c r="B4" s="123" t="str">
        <x:v>signup_date</x:v>
      </x:c>
      <x:c r="C4" s="123" t="str">
        <x:v>platform</x:v>
      </x:c>
      <x:c r="D4" s="123" t="str">
        <x:v>eligible</x:v>
      </x:c>
      <x:c r="E4" s="123" t="str">
        <x:v>activated_7d</x:v>
      </x:c>
      <x:c r="F4" s="123" t="str">
        <x:v>case</x:v>
      </x:c>
      <x:c r="G4" s="124" t="str">
        <x:v>expected_status</x:v>
      </x:c>
    </x:row>
    <x:row r="5">
      <x:c r="A5" s="125" t="str">
        <x:v>q001</x:v>
      </x:c>
      <x:c r="B5" s="126" t="n">
        <x:v>46113</x:v>
      </x:c>
      <x:c r="C5" s="127" t="str">
        <x:v>web</x:v>
      </x:c>
      <x:c r="D5" s="127" t="n">
        <x:v>1</x:v>
      </x:c>
      <x:c r="E5" s="127" t="n">
        <x:v>1</x:v>
      </x:c>
      <x:c r="F5" s="127" t="str">
        <x:v>control</x:v>
      </x:c>
      <x:c r="G5" s="128" t="str">
        <x:v>passed</x:v>
      </x:c>
    </x:row>
    <x:row r="6">
      <x:c r="A6" s="125" t="str">
        <x:v>q001</x:v>
      </x:c>
      <x:c r="B6" s="126" t="n">
        <x:v>46113</x:v>
      </x:c>
      <x:c r="C6" s="127" t="str">
        <x:v>web</x:v>
      </x:c>
      <x:c r="D6" s="127" t="n">
        <x:v>1</x:v>
      </x:c>
      <x:c r="E6" s="127" t="n">
        <x:v>1</x:v>
      </x:c>
      <x:c r="F6" s="127" t="str">
        <x:v>duplicate key</x:v>
      </x:c>
      <x:c r="G6" s="128" t="str">
        <x:v>failed</x:v>
      </x:c>
    </x:row>
    <x:row r="7">
      <x:c r="A7" s="125" t="str">
        <x:v>q002</x:v>
      </x:c>
      <x:c r="B7" s="126" t="n">
        <x:v>46114</x:v>
      </x:c>
      <x:c r="C7" s="127"/>
      <x:c r="D7" s="127" t="n">
        <x:v>1</x:v>
      </x:c>
      <x:c r="E7" s="127" t="n">
        <x:v>0</x:v>
      </x:c>
      <x:c r="F7" s="127" t="str">
        <x:v>missing platform</x:v>
      </x:c>
      <x:c r="G7" s="128" t="str">
        <x:v>failed</x:v>
      </x:c>
    </x:row>
    <x:row r="8">
      <x:c r="A8" s="129" t="str">
        <x:v>q003</x:v>
      </x:c>
      <x:c r="B8" s="130" t="n">
        <x:v>46115</x:v>
      </x:c>
      <x:c r="C8" s="131" t="str">
        <x:v>ios</x:v>
      </x:c>
      <x:c r="D8" s="131" t="n">
        <x:v>0</x:v>
      </x:c>
      <x:c r="E8" s="131" t="n">
        <x:v>1</x:v>
      </x:c>
      <x:c r="F8" s="131" t="str">
        <x:v>activated but ineligible</x:v>
      </x:c>
      <x:c r="G8" s="132" t="str">
        <x:v>failed</x:v>
      </x:c>
    </x:row>
  </x:sheetData>
  <x:mergeCells>
    <x:mergeCell ref="A1:G1"/>
    <x:mergeCell ref="A2:G2"/>
  </x:mergeCells>
  <x:pageMargins left="0.7" right="0.7" top="0.75" bottom="0.75" header="0.3" footer="0.3"/>
</x:worksheet>
</file>